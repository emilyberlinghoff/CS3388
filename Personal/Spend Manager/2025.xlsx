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milyberlinghoff/Desktop/Personal/Spend Manager/"/>
    </mc:Choice>
  </mc:AlternateContent>
  <xr:revisionPtr revIDLastSave="0" documentId="13_ncr:1_{CE88CE78-4ED6-8146-9DC0-F98712DBBE94}" xr6:coauthVersionLast="47" xr6:coauthVersionMax="47" xr10:uidLastSave="{00000000-0000-0000-0000-000000000000}"/>
  <bookViews>
    <workbookView xWindow="0" yWindow="800" windowWidth="18020" windowHeight="22580" activeTab="1" xr2:uid="{FD85CD55-1FF7-DC40-9D5B-F8665697E826}"/>
  </bookViews>
  <sheets>
    <sheet name="Sheet2" sheetId="2" r:id="rId1"/>
    <sheet name="September" sheetId="1" r:id="rId2"/>
  </sheets>
  <calcPr calcId="181029"/>
  <pivotCaches>
    <pivotCache cacheId="3" r:id="rId3"/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</calcChain>
</file>

<file path=xl/sharedStrings.xml><?xml version="1.0" encoding="utf-8"?>
<sst xmlns="http://schemas.openxmlformats.org/spreadsheetml/2006/main" count="144" uniqueCount="68">
  <si>
    <t>Category</t>
  </si>
  <si>
    <t>Date</t>
  </si>
  <si>
    <t>Amount</t>
  </si>
  <si>
    <t>Location</t>
  </si>
  <si>
    <t>01-09-2025</t>
  </si>
  <si>
    <t>Eating Out</t>
  </si>
  <si>
    <t>02-09-2025</t>
  </si>
  <si>
    <t>KENSINGTON KITCHEN TORONTO, ON</t>
  </si>
  <si>
    <t>PRESTO MOBI/PVHCJ6P9JM TORONTO, ON</t>
  </si>
  <si>
    <t>Transportation</t>
  </si>
  <si>
    <t>MEGABUS CANADA ONTARIO, ON</t>
  </si>
  <si>
    <t>03-09-2025</t>
  </si>
  <si>
    <t>STARBUCKS 8007827282 800-782-7282, ON</t>
  </si>
  <si>
    <t>MOLLY BLOOMS IRISH PUB LONDON, ON</t>
  </si>
  <si>
    <t>UBER CANADA/UBERTRIP TORONTO, ON</t>
  </si>
  <si>
    <t>04-09-2025</t>
  </si>
  <si>
    <t>FOOD BASICS 857 LONDON, ON</t>
  </si>
  <si>
    <t>Groceries</t>
  </si>
  <si>
    <t>DOLLARAMA # 893 LONDON, ON</t>
  </si>
  <si>
    <t>05-09-2025</t>
  </si>
  <si>
    <t>MTO TSD SO LONDON LONDON, ON</t>
  </si>
  <si>
    <t>Bills</t>
  </si>
  <si>
    <t>Notes</t>
  </si>
  <si>
    <t>Drivers license renewal</t>
  </si>
  <si>
    <t>GROCERY CHECKOUT LONDON, ON</t>
  </si>
  <si>
    <t>07-09-2025</t>
  </si>
  <si>
    <t>AIR CAN* 0142308839292 AIRCANADA.COM, MB</t>
  </si>
  <si>
    <t>Travel</t>
  </si>
  <si>
    <t>WESTJET 8382100596151 CALGARY, AB</t>
  </si>
  <si>
    <t>08-09-2025</t>
  </si>
  <si>
    <t>KRITIK.IO EDUCATION TORONTO, ON</t>
  </si>
  <si>
    <t>Education</t>
  </si>
  <si>
    <t>10-09-2025</t>
  </si>
  <si>
    <t>SULTAN RESTAURANT LONDON, ON</t>
  </si>
  <si>
    <t>PETRO-CANADA 08451 LONDON, ON</t>
  </si>
  <si>
    <t>13-09-2025</t>
  </si>
  <si>
    <t>WINNERS 215 LONDON, ON</t>
  </si>
  <si>
    <t>Shopping</t>
  </si>
  <si>
    <t>14-09-2025</t>
  </si>
  <si>
    <t>WHITECAPS RIVERSHACK LAMBTON SHORE, ON</t>
  </si>
  <si>
    <t>Electronic Funds Transfer PAY PAYROLL PAYROLL</t>
  </si>
  <si>
    <t>Work</t>
  </si>
  <si>
    <t>Point of Sale - INTERAC RETAIL PURCHASE 524812310662 THE BOOK STORE</t>
  </si>
  <si>
    <t>Gifts</t>
  </si>
  <si>
    <t>Electronic Funds TransferDEPOSIT CANADA</t>
  </si>
  <si>
    <t>ET</t>
  </si>
  <si>
    <t>Internet Banking E-TRANSFER 105612190777 Romanian</t>
  </si>
  <si>
    <t>11-09-2025</t>
  </si>
  <si>
    <t>Internet Banking E-TRANSFER 105613702764 Berna Landlord</t>
  </si>
  <si>
    <t>12-09-2025</t>
  </si>
  <si>
    <t>Internet Banking E-TRANSFER 105615300770 Kaz</t>
  </si>
  <si>
    <t>15-09-2025</t>
  </si>
  <si>
    <t>Internet Banking E-TRANSFER 105616508888 Maxime Lavoie gas</t>
  </si>
  <si>
    <t>Internet Banking E-TRANSFER 011424728111 Amaan Hafeez</t>
  </si>
  <si>
    <t>16-09-2025</t>
  </si>
  <si>
    <t>Cash</t>
  </si>
  <si>
    <t>Poker</t>
  </si>
  <si>
    <t>CASH INTEREST</t>
  </si>
  <si>
    <t>Interest/Fees</t>
  </si>
  <si>
    <t>CASH ADV/BT/CONV CHQ FEE</t>
  </si>
  <si>
    <t>INTEREST REVERSAL</t>
  </si>
  <si>
    <t>CASHBACK/REMISE EN ARGENT</t>
  </si>
  <si>
    <t>Reedemed</t>
  </si>
  <si>
    <t>Jeremy</t>
  </si>
  <si>
    <t>Sum of Amount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</si>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</sst>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dd/mm/yy;@"/>
  </numFmts>
  <fonts count="2" x14ac:knownFonts="1">
    <font>
      <sz val="12"/>
      <color theme="1"/>
      <name val="Aptos Narrow"/>
      <family val="2"/>
      <scheme val="minor"/>
    </font>
    <font>
      <sz val="12"/>
      <color rgb="FF383B3E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64" fontId="0" fillId="0" borderId="0" xfId="0" applyNumberFormat="1"/>
    <xf numFmtId="168" fontId="0" fillId="0" borderId="0" xfId="0" applyNumberFormat="1"/>
    <xf numFmtId="168" fontId="0" fillId="0" borderId="1" xfId="0" applyNumberFormat="1" applyBorder="1"/>
    <xf numFmtId="164" fontId="0" fillId="0" borderId="2" xfId="0" applyNumberFormat="1" applyBorder="1"/>
    <xf numFmtId="0" fontId="0" fillId="0" borderId="2" xfId="0" applyNumberFormat="1" applyBorder="1"/>
    <xf numFmtId="0" fontId="0" fillId="0" borderId="3" xfId="0" applyBorder="1"/>
    <xf numFmtId="168" fontId="0" fillId="0" borderId="4" xfId="0" applyNumberFormat="1" applyBorder="1"/>
    <xf numFmtId="164" fontId="0" fillId="0" borderId="0" xfId="0" applyNumberFormat="1" applyBorder="1"/>
    <xf numFmtId="0" fontId="1" fillId="0" borderId="0" xfId="0" applyFont="1" applyBorder="1"/>
    <xf numFmtId="0" fontId="0" fillId="0" borderId="0" xfId="0" applyNumberFormat="1" applyBorder="1"/>
    <xf numFmtId="0" fontId="0" fillId="0" borderId="5" xfId="0" applyBorder="1"/>
    <xf numFmtId="0" fontId="1" fillId="0" borderId="0" xfId="0" applyNumberFormat="1" applyFont="1" applyBorder="1"/>
    <xf numFmtId="0" fontId="1" fillId="0" borderId="5" xfId="0" applyFont="1" applyBorder="1"/>
    <xf numFmtId="168" fontId="0" fillId="0" borderId="6" xfId="0" applyNumberFormat="1" applyBorder="1"/>
    <xf numFmtId="164" fontId="0" fillId="0" borderId="7" xfId="0" applyNumberFormat="1" applyBorder="1"/>
    <xf numFmtId="0" fontId="0" fillId="0" borderId="7" xfId="0" applyNumberFormat="1" applyBorder="1"/>
    <xf numFmtId="0" fontId="0" fillId="0" borderId="0" xfId="0" applyBorder="1"/>
    <xf numFmtId="0" fontId="1" fillId="0" borderId="7" xfId="0" applyFont="1" applyBorder="1"/>
    <xf numFmtId="0" fontId="1" fillId="0" borderId="8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Sheet2!$A$2:$A$15</c:f>
              <c:strCache>
                <c:ptCount val="13"/>
                <c:pt idx="0">
                  <c:v>Bills</c:v>
                </c:pt>
                <c:pt idx="1">
                  <c:v>Eating Out</c:v>
                </c:pt>
                <c:pt idx="2">
                  <c:v>Education</c:v>
                </c:pt>
                <c:pt idx="3">
                  <c:v>ET</c:v>
                </c:pt>
                <c:pt idx="4">
                  <c:v>Gifts</c:v>
                </c:pt>
                <c:pt idx="5">
                  <c:v>Groceries</c:v>
                </c:pt>
                <c:pt idx="6">
                  <c:v>Interest/Fees</c:v>
                </c:pt>
                <c:pt idx="7">
                  <c:v>Reedemed</c:v>
                </c:pt>
                <c:pt idx="8">
                  <c:v>Shopping</c:v>
                </c:pt>
                <c:pt idx="9">
                  <c:v>Transportation</c:v>
                </c:pt>
                <c:pt idx="10">
                  <c:v>Travel</c:v>
                </c:pt>
                <c:pt idx="11">
                  <c:v>Work</c:v>
                </c:pt>
                <c:pt idx="12">
                  <c:v>(blank)</c:v>
                </c:pt>
              </c:strCache>
            </c:strRef>
          </c:cat>
          <c:val>
            <c:numRef>
              <c:f>Sheet2!$B$2:$B$15</c:f>
              <c:numCache>
                <c:formatCode>General</c:formatCode>
                <c:ptCount val="13"/>
                <c:pt idx="0">
                  <c:v>-769.98</c:v>
                </c:pt>
                <c:pt idx="1">
                  <c:v>-147.51</c:v>
                </c:pt>
                <c:pt idx="2">
                  <c:v>-22.6</c:v>
                </c:pt>
                <c:pt idx="3">
                  <c:v>90.68</c:v>
                </c:pt>
                <c:pt idx="4">
                  <c:v>-65</c:v>
                </c:pt>
                <c:pt idx="5">
                  <c:v>-43.739999999999995</c:v>
                </c:pt>
                <c:pt idx="6">
                  <c:v>-15.54</c:v>
                </c:pt>
                <c:pt idx="7">
                  <c:v>22.66</c:v>
                </c:pt>
                <c:pt idx="8">
                  <c:v>-56.49</c:v>
                </c:pt>
                <c:pt idx="9">
                  <c:v>-104.50999999999999</c:v>
                </c:pt>
                <c:pt idx="10">
                  <c:v>-548.06999999999994</c:v>
                </c:pt>
                <c:pt idx="11">
                  <c:v>954.68000000000006</c:v>
                </c:pt>
                <c:pt idx="12">
                  <c:v>-705.42000000000019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A-8749-945B-29580DC1B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2138560"/>
        <c:axId val="882143488"/>
      </c:barChart>
      <c:valAx>
        <c:axId val="88214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38560"/>
        <c:crossBetween val="between"/>
      </c:valAx>
      <c:catAx>
        <c:axId val="88213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43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[2025.xlsx]September!September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98293963254593"/>
          <c:y val="5.5972222222222236E-2"/>
          <c:w val="0.75584470691163608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September!$G$1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September!$F$2:$F$14</c:f>
              <c:strCache>
                <c:ptCount val="12"/>
                <c:pt idx="0">
                  <c:v>Bills</c:v>
                </c:pt>
                <c:pt idx="1">
                  <c:v>Travel</c:v>
                </c:pt>
                <c:pt idx="2">
                  <c:v>Eating Out</c:v>
                </c:pt>
                <c:pt idx="3">
                  <c:v>Transportation</c:v>
                </c:pt>
                <c:pt idx="4">
                  <c:v>Gifts</c:v>
                </c:pt>
                <c:pt idx="5">
                  <c:v>Shopping</c:v>
                </c:pt>
                <c:pt idx="6">
                  <c:v>Groceries</c:v>
                </c:pt>
                <c:pt idx="7">
                  <c:v>Education</c:v>
                </c:pt>
                <c:pt idx="8">
                  <c:v>Interest/Fees</c:v>
                </c:pt>
                <c:pt idx="9">
                  <c:v>Reedemed</c:v>
                </c:pt>
                <c:pt idx="10">
                  <c:v>ET</c:v>
                </c:pt>
                <c:pt idx="11">
                  <c:v>Work</c:v>
                </c:pt>
              </c:strCache>
            </c:strRef>
          </c:cat>
          <c:val>
            <c:numRef>
              <c:f>September!$G$2:$G$14</c:f>
              <c:numCache>
                <c:formatCode>General</c:formatCode>
                <c:ptCount val="12"/>
                <c:pt idx="0">
                  <c:v>-769.98</c:v>
                </c:pt>
                <c:pt idx="1">
                  <c:v>-548.06999999999994</c:v>
                </c:pt>
                <c:pt idx="2">
                  <c:v>-147.51</c:v>
                </c:pt>
                <c:pt idx="3">
                  <c:v>-104.50999999999999</c:v>
                </c:pt>
                <c:pt idx="4">
                  <c:v>-65</c:v>
                </c:pt>
                <c:pt idx="5">
                  <c:v>-56.49</c:v>
                </c:pt>
                <c:pt idx="6">
                  <c:v>-43.739999999999995</c:v>
                </c:pt>
                <c:pt idx="7">
                  <c:v>-22.6</c:v>
                </c:pt>
                <c:pt idx="8">
                  <c:v>-15.540000000000001</c:v>
                </c:pt>
                <c:pt idx="9">
                  <c:v>22.66</c:v>
                </c:pt>
                <c:pt idx="10">
                  <c:v>90.68</c:v>
                </c:pt>
                <c:pt idx="11">
                  <c:v>954.68000000000006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9-724F-8939-FE4AD51FA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2554432"/>
        <c:axId val="874274688"/>
      </c:barChart>
      <c:catAx>
        <c:axId val="882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74688"/>
        <c:crosses val="autoZero"/>
        <c:auto val="1"/>
        <c:lblAlgn val="ctr"/>
        <c:lblOffset val="100"/>
        <c:noMultiLvlLbl val="0"/>
      </c:catAx>
      <c:valAx>
        <c:axId val="8742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20</xdr:row>
      <xdr:rowOff>25400</xdr:rowOff>
    </xdr:from>
    <xdr:to>
      <xdr:col>8</xdr:col>
      <xdr:colOff>457200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F526A-888B-A3B2-B58E-E43396463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17153</xdr:colOff>
      <xdr:row>14</xdr:row>
      <xdr:rowOff>17153</xdr:rowOff>
    </xdr:from>
    <xdr:to>
      <xdr:col>12</xdr:col>
      <xdr:colOff>587204</xdr:colOff>
      <xdr:row>37</xdr:row>
      <xdr:rowOff>13657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FBAD99-12FF-F447-5343-8D082C28D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Berlinghoff" refreshedDate="45917.604369212961" createdVersion="8" refreshedVersion="8" minRefreshableVersion="3" recordCount="37" xr:uid="{E8A99AA6-B4FA-9940-81B0-850530E184D9}">
  <cacheSource type="worksheet">
    <worksheetSource ref="A1:E37" sheet="September"/>
  </cacheSource>
  <cacheFields count="5">
    <cacheField name="Date" numFmtId="168">
      <sharedItems containsDate="1" containsBlank="1" containsMixedTypes="1" minDate="1900-01-11T00:00:00" maxDate="1900-01-12T00:00:00"/>
    </cacheField>
    <cacheField name="Amount" numFmtId="164">
      <sharedItems containsString="0" containsBlank="1" containsNumber="1" minValue="-705.42000000000019" maxValue="519.63"/>
    </cacheField>
    <cacheField name="Location" numFmtId="0">
      <sharedItems containsBlank="1"/>
    </cacheField>
    <cacheField name="Category" numFmtId="0">
      <sharedItems containsBlank="1" count="13">
        <s v="Eating Out"/>
        <s v="Transportation"/>
        <m/>
        <s v="Groceries"/>
        <s v="Bills"/>
        <s v="Work"/>
        <s v="Gifts"/>
        <s v="Travel"/>
        <s v="Education"/>
        <s v="ET"/>
        <s v="Interest/Fees"/>
        <s v="Shopping"/>
        <s v="Reedemed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Berlinghoff" refreshedDate="45917.608848611111" createdVersion="8" refreshedVersion="8" minRefreshableVersion="3" recordCount="36" xr:uid="{A21150CC-EECE-CF4A-AEAD-D15623902970}">
  <cacheSource type="worksheet">
    <worksheetSource ref="A1:E36" sheet="September"/>
  </cacheSource>
  <cacheFields count="5">
    <cacheField name="Date" numFmtId="168">
      <sharedItems containsDate="1" containsBlank="1" containsMixedTypes="1" minDate="1900-01-11T00:00:00" maxDate="1900-01-12T00:00:00"/>
    </cacheField>
    <cacheField name="Amount" numFmtId="164">
      <sharedItems containsString="0" containsBlank="1" containsNumber="1" minValue="-687.5" maxValue="519.63"/>
    </cacheField>
    <cacheField name="Location" numFmtId="0">
      <sharedItems containsBlank="1"/>
    </cacheField>
    <cacheField name="Category" numFmtId="0">
      <sharedItems containsBlank="1" count="13">
        <s v="Eating Out"/>
        <s v="Transportation"/>
        <m/>
        <s v="Groceries"/>
        <s v="Bills"/>
        <s v="Work"/>
        <s v="Gifts"/>
        <s v="Travel"/>
        <s v="Education"/>
        <s v="ET"/>
        <s v="Interest/Fees"/>
        <s v="Shopping"/>
        <s v="Reedemed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01-09-2025"/>
    <n v="-9.0399999999999991"/>
    <s v="KENSINGTON KITCHEN TORONTO, ON"/>
    <x v="0"/>
    <m/>
  </r>
  <r>
    <s v="02-09-2025"/>
    <n v="-44.05"/>
    <s v="MEGABUS CANADA ONTARIO, ON"/>
    <x v="1"/>
    <m/>
  </r>
  <r>
    <s v="02-09-2025"/>
    <n v="-5"/>
    <s v="PRESTO MOBI/PVHCJ6P9JM TORONTO, ON"/>
    <x v="1"/>
    <m/>
  </r>
  <r>
    <s v="02-09-2025"/>
    <n v="-44.05"/>
    <s v="MEGABUS CANADA ONTARIO, ON"/>
    <x v="1"/>
    <m/>
  </r>
  <r>
    <m/>
    <m/>
    <m/>
    <x v="2"/>
    <m/>
  </r>
  <r>
    <s v="03-09-2025"/>
    <n v="-15"/>
    <s v="STARBUCKS 8007827282 800-782-7282, ON"/>
    <x v="0"/>
    <m/>
  </r>
  <r>
    <s v="03-09-2025"/>
    <n v="-24.15"/>
    <s v="MOLLY BLOOMS IRISH PUB LONDON, ON"/>
    <x v="0"/>
    <m/>
  </r>
  <r>
    <s v="03-09-2025"/>
    <n v="-11.41"/>
    <s v="UBER CANADA/UBERTRIP TORONTO, ON"/>
    <x v="1"/>
    <m/>
  </r>
  <r>
    <s v="04-09-2025"/>
    <n v="-27.47"/>
    <s v="FOOD BASICS 857 LONDON, ON"/>
    <x v="3"/>
    <m/>
  </r>
  <r>
    <s v="04-09-2025"/>
    <n v="-16.27"/>
    <s v="DOLLARAMA # 893 LONDON, ON"/>
    <x v="3"/>
    <m/>
  </r>
  <r>
    <s v="05-09-2025"/>
    <n v="-72"/>
    <s v="MTO TSD SO LONDON LONDON, ON"/>
    <x v="4"/>
    <s v="Drivers license renewal"/>
  </r>
  <r>
    <s v="05-09-2025"/>
    <n v="-5.99"/>
    <s v="GROCERY CHECKOUT LONDON, ON"/>
    <x v="0"/>
    <m/>
  </r>
  <r>
    <s v="05-09-2025"/>
    <n v="519.63"/>
    <s v="Electronic Funds Transfer PAY PAYROLL PAYROLL"/>
    <x v="5"/>
    <m/>
  </r>
  <r>
    <s v="05-09-2025"/>
    <n v="-65"/>
    <s v="Point of Sale - INTERAC RETAIL PURCHASE 524812310662 THE BOOK STORE"/>
    <x v="6"/>
    <m/>
  </r>
  <r>
    <s v="07-09-2025"/>
    <n v="-212.5"/>
    <s v="AIR CAN* 0142308839292 AIRCANADA.COM, MB"/>
    <x v="7"/>
    <m/>
  </r>
  <r>
    <s v="07-09-2025"/>
    <n v="-335.57"/>
    <s v="WESTJET 8382100596151 CALGARY, AB"/>
    <x v="7"/>
    <m/>
  </r>
  <r>
    <s v="08-09-2025"/>
    <n v="-22.6"/>
    <s v="KRITIK.IO EDUCATION TORONTO, ON"/>
    <x v="8"/>
    <m/>
  </r>
  <r>
    <s v="08-09-2025"/>
    <n v="-20"/>
    <s v="MOLLY BLOOMS IRISH PUB LONDON, ON"/>
    <x v="0"/>
    <m/>
  </r>
  <r>
    <s v="10-09-2025"/>
    <n v="-9.93"/>
    <s v="SULTAN RESTAURANT LONDON, ON"/>
    <x v="0"/>
    <m/>
  </r>
  <r>
    <s v="10-09-2025"/>
    <n v="-6.77"/>
    <s v="PETRO-CANADA 08451 LONDON, ON"/>
    <x v="0"/>
    <m/>
  </r>
  <r>
    <s v="10-09-2025"/>
    <n v="90.68"/>
    <s v="Electronic Funds TransferDEPOSIT CANADA"/>
    <x v="9"/>
    <m/>
  </r>
  <r>
    <s v="10-09-2025"/>
    <n v="-28"/>
    <s v="Internet Banking E-TRANSFER 105612190777 Romanian"/>
    <x v="0"/>
    <m/>
  </r>
  <r>
    <s v="11-09-2025"/>
    <n v="-687.5"/>
    <s v="Internet Banking E-TRANSFER 105613702764 Berna Landlord"/>
    <x v="4"/>
    <m/>
  </r>
  <r>
    <s v="12-09-2025"/>
    <n v="-10"/>
    <s v="Internet Banking E-TRANSFER 105615300770 Kaz"/>
    <x v="0"/>
    <m/>
  </r>
  <r>
    <s v="12-09-2025"/>
    <n v="177.05"/>
    <s v="Cash"/>
    <x v="5"/>
    <s v="Poker"/>
  </r>
  <r>
    <s v="12-09-2025"/>
    <n v="-0.56999999999999995"/>
    <s v="CASH INTEREST"/>
    <x v="10"/>
    <m/>
  </r>
  <r>
    <d v="1900-01-11T00:00:00"/>
    <n v="-5"/>
    <s v="CASH ADV/BT/CONV CHQ FEE"/>
    <x v="10"/>
    <m/>
  </r>
  <r>
    <s v="13-09-2025"/>
    <n v="-56.49"/>
    <s v="WINNERS 215 LONDON, ON"/>
    <x v="11"/>
    <m/>
  </r>
  <r>
    <s v="13-09-2025"/>
    <n v="200"/>
    <s v="Cash"/>
    <x v="5"/>
    <s v="Poker"/>
  </r>
  <r>
    <s v="13-09-2025"/>
    <n v="0.03"/>
    <s v="INTEREST REVERSAL"/>
    <x v="10"/>
    <m/>
  </r>
  <r>
    <s v="14-09-2025"/>
    <n v="-18.63"/>
    <s v="WHITECAPS RIVERSHACK LAMBTON SHORE, ON"/>
    <x v="0"/>
    <m/>
  </r>
  <r>
    <s v="15-09-2025"/>
    <n v="-10.48"/>
    <s v="Internet Banking E-TRANSFER 105616508888 Maxime Lavoie gas"/>
    <x v="4"/>
    <m/>
  </r>
  <r>
    <s v="15-09-2025"/>
    <n v="58"/>
    <s v="Internet Banking E-TRANSFER 011424728111 Amaan Hafeez"/>
    <x v="5"/>
    <s v="Jeremy"/>
  </r>
  <r>
    <s v="15-09-2025"/>
    <n v="-5"/>
    <s v="CASH ADV/BT/CONV CHQ FEE"/>
    <x v="10"/>
    <m/>
  </r>
  <r>
    <s v="15-09-2025"/>
    <n v="22.66"/>
    <s v="CASHBACK/REMISE EN ARGENT"/>
    <x v="12"/>
    <m/>
  </r>
  <r>
    <s v="16-09-2025"/>
    <n v="-5"/>
    <s v="CASH ADV/BT/CONV CHQ FEE"/>
    <x v="10"/>
    <m/>
  </r>
  <r>
    <m/>
    <n v="-705.42000000000019"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01-09-2025"/>
    <n v="-9.0399999999999991"/>
    <s v="KENSINGTON KITCHEN TORONTO, ON"/>
    <x v="0"/>
    <m/>
  </r>
  <r>
    <s v="02-09-2025"/>
    <n v="-44.05"/>
    <s v="MEGABUS CANADA ONTARIO, ON"/>
    <x v="1"/>
    <m/>
  </r>
  <r>
    <s v="02-09-2025"/>
    <n v="-5"/>
    <s v="PRESTO MOBI/PVHCJ6P9JM TORONTO, ON"/>
    <x v="1"/>
    <m/>
  </r>
  <r>
    <s v="02-09-2025"/>
    <n v="-44.05"/>
    <s v="MEGABUS CANADA ONTARIO, ON"/>
    <x v="1"/>
    <m/>
  </r>
  <r>
    <m/>
    <m/>
    <m/>
    <x v="2"/>
    <m/>
  </r>
  <r>
    <s v="03-09-2025"/>
    <n v="-15"/>
    <s v="STARBUCKS 8007827282 800-782-7282, ON"/>
    <x v="0"/>
    <m/>
  </r>
  <r>
    <s v="03-09-2025"/>
    <n v="-24.15"/>
    <s v="MOLLY BLOOMS IRISH PUB LONDON, ON"/>
    <x v="0"/>
    <m/>
  </r>
  <r>
    <s v="03-09-2025"/>
    <n v="-11.41"/>
    <s v="UBER CANADA/UBERTRIP TORONTO, ON"/>
    <x v="1"/>
    <m/>
  </r>
  <r>
    <s v="04-09-2025"/>
    <n v="-27.47"/>
    <s v="FOOD BASICS 857 LONDON, ON"/>
    <x v="3"/>
    <m/>
  </r>
  <r>
    <s v="04-09-2025"/>
    <n v="-16.27"/>
    <s v="DOLLARAMA # 893 LONDON, ON"/>
    <x v="3"/>
    <m/>
  </r>
  <r>
    <s v="05-09-2025"/>
    <n v="-72"/>
    <s v="MTO TSD SO LONDON LONDON, ON"/>
    <x v="4"/>
    <s v="Drivers license renewal"/>
  </r>
  <r>
    <s v="05-09-2025"/>
    <n v="-5.99"/>
    <s v="GROCERY CHECKOUT LONDON, ON"/>
    <x v="0"/>
    <m/>
  </r>
  <r>
    <s v="05-09-2025"/>
    <n v="519.63"/>
    <s v="Electronic Funds Transfer PAY PAYROLL PAYROLL"/>
    <x v="5"/>
    <m/>
  </r>
  <r>
    <s v="05-09-2025"/>
    <n v="-65"/>
    <s v="Point of Sale - INTERAC RETAIL PURCHASE 524812310662 THE BOOK STORE"/>
    <x v="6"/>
    <m/>
  </r>
  <r>
    <s v="07-09-2025"/>
    <n v="-212.5"/>
    <s v="AIR CAN* 0142308839292 AIRCANADA.COM, MB"/>
    <x v="7"/>
    <m/>
  </r>
  <r>
    <s v="07-09-2025"/>
    <n v="-335.57"/>
    <s v="WESTJET 8382100596151 CALGARY, AB"/>
    <x v="7"/>
    <m/>
  </r>
  <r>
    <s v="08-09-2025"/>
    <n v="-22.6"/>
    <s v="KRITIK.IO EDUCATION TORONTO, ON"/>
    <x v="8"/>
    <m/>
  </r>
  <r>
    <s v="08-09-2025"/>
    <n v="-20"/>
    <s v="MOLLY BLOOMS IRISH PUB LONDON, ON"/>
    <x v="0"/>
    <m/>
  </r>
  <r>
    <s v="10-09-2025"/>
    <n v="-9.93"/>
    <s v="SULTAN RESTAURANT LONDON, ON"/>
    <x v="0"/>
    <m/>
  </r>
  <r>
    <s v="10-09-2025"/>
    <n v="-6.77"/>
    <s v="PETRO-CANADA 08451 LONDON, ON"/>
    <x v="0"/>
    <m/>
  </r>
  <r>
    <s v="10-09-2025"/>
    <n v="90.68"/>
    <s v="Electronic Funds TransferDEPOSIT CANADA"/>
    <x v="9"/>
    <m/>
  </r>
  <r>
    <s v="10-09-2025"/>
    <n v="-28"/>
    <s v="Internet Banking E-TRANSFER 105612190777 Romanian"/>
    <x v="0"/>
    <m/>
  </r>
  <r>
    <s v="11-09-2025"/>
    <n v="-687.5"/>
    <s v="Internet Banking E-TRANSFER 105613702764 Berna Landlord"/>
    <x v="4"/>
    <m/>
  </r>
  <r>
    <s v="12-09-2025"/>
    <n v="-10"/>
    <s v="Internet Banking E-TRANSFER 105615300770 Kaz"/>
    <x v="0"/>
    <m/>
  </r>
  <r>
    <s v="12-09-2025"/>
    <n v="177.05"/>
    <s v="Cash"/>
    <x v="5"/>
    <s v="Poker"/>
  </r>
  <r>
    <s v="12-09-2025"/>
    <n v="-0.56999999999999995"/>
    <s v="CASH INTEREST"/>
    <x v="10"/>
    <m/>
  </r>
  <r>
    <d v="1900-01-11T00:00:00"/>
    <n v="-5"/>
    <s v="CASH ADV/BT/CONV CHQ FEE"/>
    <x v="10"/>
    <m/>
  </r>
  <r>
    <s v="13-09-2025"/>
    <n v="-56.49"/>
    <s v="WINNERS 215 LONDON, ON"/>
    <x v="11"/>
    <m/>
  </r>
  <r>
    <s v="13-09-2025"/>
    <n v="200"/>
    <s v="Cash"/>
    <x v="5"/>
    <s v="Poker"/>
  </r>
  <r>
    <s v="13-09-2025"/>
    <n v="0.03"/>
    <s v="INTEREST REVERSAL"/>
    <x v="10"/>
    <m/>
  </r>
  <r>
    <s v="14-09-2025"/>
    <n v="-18.63"/>
    <s v="WHITECAPS RIVERSHACK LAMBTON SHORE, ON"/>
    <x v="0"/>
    <m/>
  </r>
  <r>
    <s v="15-09-2025"/>
    <n v="-10.48"/>
    <s v="Internet Banking E-TRANSFER 105616508888 Maxime Lavoie gas"/>
    <x v="4"/>
    <m/>
  </r>
  <r>
    <s v="15-09-2025"/>
    <n v="58"/>
    <s v="Internet Banking E-TRANSFER 011424728111 Amaan Hafeez"/>
    <x v="5"/>
    <s v="Jeremy"/>
  </r>
  <r>
    <s v="15-09-2025"/>
    <n v="-5"/>
    <s v="CASH ADV/BT/CONV CHQ FEE"/>
    <x v="10"/>
    <m/>
  </r>
  <r>
    <s v="15-09-2025"/>
    <n v="22.66"/>
    <s v="CASHBACK/REMISE EN ARGENT"/>
    <x v="12"/>
    <m/>
  </r>
  <r>
    <s v="16-09-2025"/>
    <n v="-5"/>
    <s v="CASH ADV/BT/CONV CHQ FEE"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A0768-C4F0-BE45-9952-BDD44688678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5" firstHeaderRow="1" firstDataRow="1" firstDataCol="1"/>
  <pivotFields count="5">
    <pivotField showAll="0"/>
    <pivotField dataField="1" showAll="0"/>
    <pivotField showAll="0"/>
    <pivotField axis="axisRow" showAll="0">
      <items count="14">
        <item x="4"/>
        <item x="0"/>
        <item x="8"/>
        <item x="9"/>
        <item x="6"/>
        <item x="3"/>
        <item x="10"/>
        <item x="12"/>
        <item x="11"/>
        <item x="1"/>
        <item x="7"/>
        <item x="5"/>
        <item x="2"/>
        <item t="default"/>
      </items>
    </pivotField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BF512-4112-6440-BB23-F6A3391D5B76}" name="September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F1:G14" firstHeaderRow="1" firstDataRow="1" firstDataCol="1"/>
  <pivotFields count="5">
    <pivotField showAll="0"/>
    <pivotField dataField="1" showAll="0"/>
    <pivotField showAll="0"/>
    <pivotField axis="axisRow" showAll="0" sortType="ascending">
      <items count="14">
        <item x="4"/>
        <item x="0"/>
        <item x="8"/>
        <item x="9"/>
        <item x="6"/>
        <item x="3"/>
        <item x="10"/>
        <item x="12"/>
        <item x="11"/>
        <item x="1"/>
        <item x="7"/>
        <item x="5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13">
    <i>
      <x/>
    </i>
    <i>
      <x v="10"/>
    </i>
    <i>
      <x v="1"/>
    </i>
    <i>
      <x v="9"/>
    </i>
    <i>
      <x v="4"/>
    </i>
    <i>
      <x v="8"/>
    </i>
    <i>
      <x v="5"/>
    </i>
    <i>
      <x v="2"/>
    </i>
    <i>
      <x v="6"/>
    </i>
    <i>
      <x v="7"/>
    </i>
    <i>
      <x v="3"/>
    </i>
    <i>
      <x v="11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4C13C-D1B9-8940-A76A-014064376340}" name="Table2" displayName="Table2" ref="D1:D1048576" totalsRowShown="0" headerRowDxfId="1">
  <autoFilter ref="D1:D1048576" xr:uid="{D1B4C13C-D1B9-8940-A76A-014064376340}"/>
  <tableColumns count="1">
    <tableColumn id="1" xr3:uid="{B1BE3539-470F-5F47-9C99-92B2FE986A96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B182-EEAA-494F-8F9D-DC83A5AE48B4}">
  <dimension ref="A1:B15"/>
  <sheetViews>
    <sheetView zoomScale="90" workbookViewId="0">
      <selection activeCell="E34" sqref="E34"/>
    </sheetView>
  </sheetViews>
  <sheetFormatPr baseColWidth="10" defaultRowHeight="16" x14ac:dyDescent="0.2"/>
  <cols>
    <col min="1" max="1" width="13" bestFit="1" customWidth="1"/>
    <col min="2" max="2" width="13.6640625" bestFit="1" customWidth="1"/>
  </cols>
  <sheetData>
    <row r="1" spans="1:2" x14ac:dyDescent="0.2">
      <c r="A1" s="21" t="s">
        <v>65</v>
      </c>
      <c r="B1" t="s">
        <v>64</v>
      </c>
    </row>
    <row r="2" spans="1:2" x14ac:dyDescent="0.2">
      <c r="A2" s="22" t="s">
        <v>21</v>
      </c>
      <c r="B2" s="1">
        <v>-769.98</v>
      </c>
    </row>
    <row r="3" spans="1:2" x14ac:dyDescent="0.2">
      <c r="A3" s="22" t="s">
        <v>5</v>
      </c>
      <c r="B3" s="1">
        <v>-147.51</v>
      </c>
    </row>
    <row r="4" spans="1:2" x14ac:dyDescent="0.2">
      <c r="A4" s="22" t="s">
        <v>31</v>
      </c>
      <c r="B4" s="1">
        <v>-22.6</v>
      </c>
    </row>
    <row r="5" spans="1:2" x14ac:dyDescent="0.2">
      <c r="A5" s="22" t="s">
        <v>45</v>
      </c>
      <c r="B5" s="1">
        <v>90.68</v>
      </c>
    </row>
    <row r="6" spans="1:2" x14ac:dyDescent="0.2">
      <c r="A6" s="22" t="s">
        <v>43</v>
      </c>
      <c r="B6" s="1">
        <v>-65</v>
      </c>
    </row>
    <row r="7" spans="1:2" x14ac:dyDescent="0.2">
      <c r="A7" s="22" t="s">
        <v>17</v>
      </c>
      <c r="B7" s="1">
        <v>-43.739999999999995</v>
      </c>
    </row>
    <row r="8" spans="1:2" x14ac:dyDescent="0.2">
      <c r="A8" s="22" t="s">
        <v>58</v>
      </c>
      <c r="B8" s="1">
        <v>-15.54</v>
      </c>
    </row>
    <row r="9" spans="1:2" x14ac:dyDescent="0.2">
      <c r="A9" s="22" t="s">
        <v>62</v>
      </c>
      <c r="B9" s="1">
        <v>22.66</v>
      </c>
    </row>
    <row r="10" spans="1:2" x14ac:dyDescent="0.2">
      <c r="A10" s="22" t="s">
        <v>37</v>
      </c>
      <c r="B10" s="1">
        <v>-56.49</v>
      </c>
    </row>
    <row r="11" spans="1:2" x14ac:dyDescent="0.2">
      <c r="A11" s="22" t="s">
        <v>9</v>
      </c>
      <c r="B11" s="1">
        <v>-104.50999999999999</v>
      </c>
    </row>
    <row r="12" spans="1:2" x14ac:dyDescent="0.2">
      <c r="A12" s="22" t="s">
        <v>27</v>
      </c>
      <c r="B12" s="1">
        <v>-548.06999999999994</v>
      </c>
    </row>
    <row r="13" spans="1:2" x14ac:dyDescent="0.2">
      <c r="A13" s="22" t="s">
        <v>41</v>
      </c>
      <c r="B13" s="1">
        <v>954.68000000000006</v>
      </c>
    </row>
    <row r="14" spans="1:2" x14ac:dyDescent="0.2">
      <c r="A14" s="22" t="s">
        <v>66</v>
      </c>
      <c r="B14" s="1">
        <v>-705.42000000000019</v>
      </c>
    </row>
    <row r="15" spans="1:2" x14ac:dyDescent="0.2">
      <c r="A15" s="22" t="s">
        <v>67</v>
      </c>
      <c r="B15" s="1">
        <v>-1410.8400000000001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5F8F-51C0-1443-BE28-885615399EBB}">
  <dimension ref="A1:G38"/>
  <sheetViews>
    <sheetView tabSelected="1" topLeftCell="D1" zoomScale="93" workbookViewId="0">
      <selection activeCell="L43" sqref="L43"/>
    </sheetView>
  </sheetViews>
  <sheetFormatPr baseColWidth="10" defaultRowHeight="16" x14ac:dyDescent="0.2"/>
  <cols>
    <col min="1" max="1" width="10.5" style="3" bestFit="1" customWidth="1"/>
    <col min="2" max="2" width="9.83203125" style="2" bestFit="1" customWidth="1"/>
    <col min="3" max="3" width="76.5" style="1" bestFit="1" customWidth="1"/>
    <col min="4" max="4" width="13" style="1" bestFit="1" customWidth="1"/>
    <col min="5" max="5" width="20.1640625" bestFit="1" customWidth="1"/>
    <col min="6" max="6" width="13" bestFit="1" customWidth="1"/>
    <col min="7" max="7" width="13.83203125" bestFit="1" customWidth="1"/>
  </cols>
  <sheetData>
    <row r="1" spans="1:7" ht="17" thickTop="1" x14ac:dyDescent="0.2">
      <c r="A1" s="4" t="s">
        <v>1</v>
      </c>
      <c r="B1" s="5" t="s">
        <v>2</v>
      </c>
      <c r="C1" s="6" t="s">
        <v>3</v>
      </c>
      <c r="D1" s="6" t="s">
        <v>0</v>
      </c>
      <c r="E1" s="7" t="s">
        <v>22</v>
      </c>
      <c r="F1" s="21" t="s">
        <v>65</v>
      </c>
      <c r="G1" t="s">
        <v>64</v>
      </c>
    </row>
    <row r="2" spans="1:7" x14ac:dyDescent="0.2">
      <c r="A2" s="8" t="s">
        <v>4</v>
      </c>
      <c r="B2" s="9">
        <v>-9.0399999999999991</v>
      </c>
      <c r="C2" s="10" t="s">
        <v>7</v>
      </c>
      <c r="D2" s="11" t="s">
        <v>5</v>
      </c>
      <c r="E2" s="12"/>
      <c r="F2" s="22" t="s">
        <v>21</v>
      </c>
      <c r="G2" s="1">
        <v>-769.98</v>
      </c>
    </row>
    <row r="3" spans="1:7" x14ac:dyDescent="0.2">
      <c r="A3" s="8" t="s">
        <v>6</v>
      </c>
      <c r="B3" s="9">
        <v>-44.05</v>
      </c>
      <c r="C3" s="10" t="s">
        <v>10</v>
      </c>
      <c r="D3" s="11" t="s">
        <v>9</v>
      </c>
      <c r="E3" s="12"/>
      <c r="F3" s="22" t="s">
        <v>27</v>
      </c>
      <c r="G3" s="1">
        <v>-548.06999999999994</v>
      </c>
    </row>
    <row r="4" spans="1:7" x14ac:dyDescent="0.2">
      <c r="A4" s="8" t="s">
        <v>6</v>
      </c>
      <c r="B4" s="9">
        <v>-5</v>
      </c>
      <c r="C4" s="10" t="s">
        <v>8</v>
      </c>
      <c r="D4" s="11" t="s">
        <v>9</v>
      </c>
      <c r="E4" s="12"/>
      <c r="F4" s="22" t="s">
        <v>5</v>
      </c>
      <c r="G4" s="1">
        <v>-147.51</v>
      </c>
    </row>
    <row r="5" spans="1:7" x14ac:dyDescent="0.2">
      <c r="A5" s="8" t="s">
        <v>6</v>
      </c>
      <c r="B5" s="9">
        <v>-44.05</v>
      </c>
      <c r="C5" s="10" t="s">
        <v>10</v>
      </c>
      <c r="D5" s="11" t="s">
        <v>9</v>
      </c>
      <c r="E5" s="12"/>
      <c r="F5" s="22" t="s">
        <v>9</v>
      </c>
      <c r="G5" s="1">
        <v>-104.50999999999999</v>
      </c>
    </row>
    <row r="6" spans="1:7" x14ac:dyDescent="0.2">
      <c r="A6" s="8" t="s">
        <v>11</v>
      </c>
      <c r="B6" s="9">
        <v>-15</v>
      </c>
      <c r="C6" s="10" t="s">
        <v>12</v>
      </c>
      <c r="D6" s="11" t="s">
        <v>5</v>
      </c>
      <c r="E6" s="12"/>
      <c r="F6" s="22" t="s">
        <v>43</v>
      </c>
      <c r="G6" s="1">
        <v>-65</v>
      </c>
    </row>
    <row r="7" spans="1:7" x14ac:dyDescent="0.2">
      <c r="A7" s="8" t="s">
        <v>11</v>
      </c>
      <c r="B7" s="9">
        <v>-24.15</v>
      </c>
      <c r="C7" s="10" t="s">
        <v>13</v>
      </c>
      <c r="D7" s="11" t="s">
        <v>5</v>
      </c>
      <c r="E7" s="12"/>
      <c r="F7" s="22" t="s">
        <v>37</v>
      </c>
      <c r="G7" s="1">
        <v>-56.49</v>
      </c>
    </row>
    <row r="8" spans="1:7" x14ac:dyDescent="0.2">
      <c r="A8" s="8" t="s">
        <v>11</v>
      </c>
      <c r="B8" s="9">
        <v>-11.41</v>
      </c>
      <c r="C8" s="10" t="s">
        <v>14</v>
      </c>
      <c r="D8" s="11" t="s">
        <v>9</v>
      </c>
      <c r="E8" s="12"/>
      <c r="F8" s="22" t="s">
        <v>17</v>
      </c>
      <c r="G8" s="1">
        <v>-43.739999999999995</v>
      </c>
    </row>
    <row r="9" spans="1:7" x14ac:dyDescent="0.2">
      <c r="A9" s="8" t="s">
        <v>15</v>
      </c>
      <c r="B9" s="9">
        <v>-27.47</v>
      </c>
      <c r="C9" s="10" t="s">
        <v>16</v>
      </c>
      <c r="D9" s="11" t="s">
        <v>17</v>
      </c>
      <c r="E9" s="12"/>
      <c r="F9" s="22" t="s">
        <v>31</v>
      </c>
      <c r="G9" s="1">
        <v>-22.6</v>
      </c>
    </row>
    <row r="10" spans="1:7" x14ac:dyDescent="0.2">
      <c r="A10" s="8" t="s">
        <v>15</v>
      </c>
      <c r="B10" s="9">
        <v>-16.27</v>
      </c>
      <c r="C10" s="10" t="s">
        <v>18</v>
      </c>
      <c r="D10" s="11" t="s">
        <v>17</v>
      </c>
      <c r="E10" s="12"/>
      <c r="F10" s="22" t="s">
        <v>58</v>
      </c>
      <c r="G10" s="1">
        <v>-15.540000000000001</v>
      </c>
    </row>
    <row r="11" spans="1:7" x14ac:dyDescent="0.2">
      <c r="A11" s="8" t="s">
        <v>19</v>
      </c>
      <c r="B11" s="9">
        <v>-72</v>
      </c>
      <c r="C11" s="10" t="s">
        <v>20</v>
      </c>
      <c r="D11" s="11" t="s">
        <v>21</v>
      </c>
      <c r="E11" s="12" t="s">
        <v>23</v>
      </c>
      <c r="F11" s="22" t="s">
        <v>62</v>
      </c>
      <c r="G11" s="1">
        <v>22.66</v>
      </c>
    </row>
    <row r="12" spans="1:7" x14ac:dyDescent="0.2">
      <c r="A12" s="8" t="s">
        <v>19</v>
      </c>
      <c r="B12" s="9">
        <v>-5.99</v>
      </c>
      <c r="C12" s="10" t="s">
        <v>24</v>
      </c>
      <c r="D12" s="11" t="s">
        <v>5</v>
      </c>
      <c r="E12" s="12"/>
      <c r="F12" s="22" t="s">
        <v>45</v>
      </c>
      <c r="G12" s="1">
        <v>90.68</v>
      </c>
    </row>
    <row r="13" spans="1:7" x14ac:dyDescent="0.2">
      <c r="A13" s="8" t="s">
        <v>19</v>
      </c>
      <c r="B13" s="9">
        <v>519.63</v>
      </c>
      <c r="C13" s="10" t="s">
        <v>40</v>
      </c>
      <c r="D13" s="11" t="s">
        <v>41</v>
      </c>
      <c r="E13" s="12"/>
      <c r="F13" s="22" t="s">
        <v>41</v>
      </c>
      <c r="G13" s="1">
        <v>954.68000000000006</v>
      </c>
    </row>
    <row r="14" spans="1:7" x14ac:dyDescent="0.2">
      <c r="A14" s="8" t="s">
        <v>19</v>
      </c>
      <c r="B14" s="9">
        <v>-65</v>
      </c>
      <c r="C14" s="10" t="s">
        <v>42</v>
      </c>
      <c r="D14" s="11" t="s">
        <v>43</v>
      </c>
      <c r="E14" s="12"/>
      <c r="F14" s="22" t="s">
        <v>67</v>
      </c>
      <c r="G14" s="1">
        <v>-705.42000000000007</v>
      </c>
    </row>
    <row r="15" spans="1:7" x14ac:dyDescent="0.2">
      <c r="A15" s="8" t="s">
        <v>25</v>
      </c>
      <c r="B15" s="9">
        <v>-212.5</v>
      </c>
      <c r="C15" s="10" t="s">
        <v>26</v>
      </c>
      <c r="D15" s="11" t="s">
        <v>27</v>
      </c>
      <c r="E15" s="12"/>
    </row>
    <row r="16" spans="1:7" x14ac:dyDescent="0.2">
      <c r="A16" s="8" t="s">
        <v>25</v>
      </c>
      <c r="B16" s="9">
        <v>-335.57</v>
      </c>
      <c r="C16" s="10" t="s">
        <v>28</v>
      </c>
      <c r="D16" s="11" t="s">
        <v>27</v>
      </c>
      <c r="E16" s="12"/>
    </row>
    <row r="17" spans="1:5" x14ac:dyDescent="0.2">
      <c r="A17" s="8" t="s">
        <v>29</v>
      </c>
      <c r="B17" s="9">
        <v>-22.6</v>
      </c>
      <c r="C17" s="10" t="s">
        <v>30</v>
      </c>
      <c r="D17" s="11" t="s">
        <v>31</v>
      </c>
      <c r="E17" s="12"/>
    </row>
    <row r="18" spans="1:5" x14ac:dyDescent="0.2">
      <c r="A18" s="8" t="s">
        <v>29</v>
      </c>
      <c r="B18" s="9">
        <v>-20</v>
      </c>
      <c r="C18" s="13" t="s">
        <v>13</v>
      </c>
      <c r="D18" s="11" t="s">
        <v>5</v>
      </c>
      <c r="E18" s="12"/>
    </row>
    <row r="19" spans="1:5" x14ac:dyDescent="0.2">
      <c r="A19" s="8" t="s">
        <v>32</v>
      </c>
      <c r="B19" s="9">
        <v>-9.93</v>
      </c>
      <c r="C19" s="10" t="s">
        <v>33</v>
      </c>
      <c r="D19" s="11" t="s">
        <v>5</v>
      </c>
      <c r="E19" s="12"/>
    </row>
    <row r="20" spans="1:5" x14ac:dyDescent="0.2">
      <c r="A20" s="8" t="s">
        <v>32</v>
      </c>
      <c r="B20" s="9">
        <v>-6.77</v>
      </c>
      <c r="C20" s="10" t="s">
        <v>34</v>
      </c>
      <c r="D20" s="11" t="s">
        <v>5</v>
      </c>
      <c r="E20" s="12"/>
    </row>
    <row r="21" spans="1:5" x14ac:dyDescent="0.2">
      <c r="A21" s="8" t="s">
        <v>32</v>
      </c>
      <c r="B21" s="9">
        <v>90.68</v>
      </c>
      <c r="C21" s="10" t="s">
        <v>44</v>
      </c>
      <c r="D21" s="11" t="s">
        <v>45</v>
      </c>
      <c r="E21" s="12"/>
    </row>
    <row r="22" spans="1:5" x14ac:dyDescent="0.2">
      <c r="A22" s="8" t="s">
        <v>32</v>
      </c>
      <c r="B22" s="9">
        <v>-28</v>
      </c>
      <c r="C22" s="10" t="s">
        <v>46</v>
      </c>
      <c r="D22" s="11" t="s">
        <v>5</v>
      </c>
      <c r="E22" s="12"/>
    </row>
    <row r="23" spans="1:5" x14ac:dyDescent="0.2">
      <c r="A23" s="8" t="s">
        <v>47</v>
      </c>
      <c r="B23" s="9">
        <v>-687.5</v>
      </c>
      <c r="C23" s="10" t="s">
        <v>48</v>
      </c>
      <c r="D23" s="11" t="s">
        <v>21</v>
      </c>
      <c r="E23" s="12"/>
    </row>
    <row r="24" spans="1:5" x14ac:dyDescent="0.2">
      <c r="A24" s="8" t="s">
        <v>49</v>
      </c>
      <c r="B24" s="9">
        <v>-10</v>
      </c>
      <c r="C24" s="13" t="s">
        <v>50</v>
      </c>
      <c r="D24" s="11" t="s">
        <v>5</v>
      </c>
      <c r="E24" s="12"/>
    </row>
    <row r="25" spans="1:5" x14ac:dyDescent="0.2">
      <c r="A25" s="8" t="s">
        <v>49</v>
      </c>
      <c r="B25" s="9">
        <v>177.05</v>
      </c>
      <c r="C25" s="13" t="s">
        <v>55</v>
      </c>
      <c r="D25" s="11" t="s">
        <v>41</v>
      </c>
      <c r="E25" s="12" t="s">
        <v>56</v>
      </c>
    </row>
    <row r="26" spans="1:5" x14ac:dyDescent="0.2">
      <c r="A26" s="8" t="s">
        <v>49</v>
      </c>
      <c r="B26" s="9">
        <v>-0.56999999999999995</v>
      </c>
      <c r="C26" s="13" t="s">
        <v>57</v>
      </c>
      <c r="D26" s="11" t="s">
        <v>58</v>
      </c>
      <c r="E26" s="12"/>
    </row>
    <row r="27" spans="1:5" x14ac:dyDescent="0.2">
      <c r="A27" s="8">
        <v>12</v>
      </c>
      <c r="B27" s="9">
        <v>-5</v>
      </c>
      <c r="C27" s="10" t="s">
        <v>59</v>
      </c>
      <c r="D27" s="11" t="s">
        <v>58</v>
      </c>
      <c r="E27" s="12"/>
    </row>
    <row r="28" spans="1:5" x14ac:dyDescent="0.2">
      <c r="A28" s="8" t="s">
        <v>35</v>
      </c>
      <c r="B28" s="9">
        <v>-56.49</v>
      </c>
      <c r="C28" s="10" t="s">
        <v>36</v>
      </c>
      <c r="D28" s="11" t="s">
        <v>37</v>
      </c>
      <c r="E28" s="12"/>
    </row>
    <row r="29" spans="1:5" x14ac:dyDescent="0.2">
      <c r="A29" s="8" t="s">
        <v>35</v>
      </c>
      <c r="B29" s="9">
        <v>200</v>
      </c>
      <c r="C29" s="13" t="s">
        <v>55</v>
      </c>
      <c r="D29" s="11" t="s">
        <v>41</v>
      </c>
      <c r="E29" s="12" t="s">
        <v>56</v>
      </c>
    </row>
    <row r="30" spans="1:5" x14ac:dyDescent="0.2">
      <c r="A30" s="8" t="s">
        <v>35</v>
      </c>
      <c r="B30" s="9">
        <v>0.03</v>
      </c>
      <c r="C30" s="10" t="s">
        <v>60</v>
      </c>
      <c r="D30" s="11" t="s">
        <v>58</v>
      </c>
      <c r="E30" s="12"/>
    </row>
    <row r="31" spans="1:5" x14ac:dyDescent="0.2">
      <c r="A31" s="8" t="s">
        <v>38</v>
      </c>
      <c r="B31" s="9">
        <v>-18.63</v>
      </c>
      <c r="C31" s="10" t="s">
        <v>39</v>
      </c>
      <c r="D31" s="11" t="s">
        <v>5</v>
      </c>
      <c r="E31" s="12"/>
    </row>
    <row r="32" spans="1:5" x14ac:dyDescent="0.2">
      <c r="A32" s="8" t="s">
        <v>51</v>
      </c>
      <c r="B32" s="9">
        <v>-10.48</v>
      </c>
      <c r="C32" s="10" t="s">
        <v>52</v>
      </c>
      <c r="D32" s="11" t="s">
        <v>21</v>
      </c>
      <c r="E32" s="12"/>
    </row>
    <row r="33" spans="1:5" x14ac:dyDescent="0.2">
      <c r="A33" s="8" t="s">
        <v>51</v>
      </c>
      <c r="B33" s="9">
        <v>58</v>
      </c>
      <c r="C33" s="10" t="s">
        <v>53</v>
      </c>
      <c r="D33" s="11" t="s">
        <v>41</v>
      </c>
      <c r="E33" s="14" t="s">
        <v>63</v>
      </c>
    </row>
    <row r="34" spans="1:5" x14ac:dyDescent="0.2">
      <c r="A34" s="8" t="s">
        <v>51</v>
      </c>
      <c r="B34" s="9">
        <v>-5</v>
      </c>
      <c r="C34" s="10" t="s">
        <v>59</v>
      </c>
      <c r="D34" s="11" t="s">
        <v>58</v>
      </c>
      <c r="E34" s="12"/>
    </row>
    <row r="35" spans="1:5" x14ac:dyDescent="0.2">
      <c r="A35" s="8" t="s">
        <v>51</v>
      </c>
      <c r="B35" s="9">
        <v>22.66</v>
      </c>
      <c r="C35" s="13" t="s">
        <v>61</v>
      </c>
      <c r="D35" s="11" t="s">
        <v>62</v>
      </c>
      <c r="E35" s="12"/>
    </row>
    <row r="36" spans="1:5" x14ac:dyDescent="0.2">
      <c r="A36" s="8" t="s">
        <v>54</v>
      </c>
      <c r="B36" s="9">
        <v>-5</v>
      </c>
      <c r="C36" s="10" t="s">
        <v>59</v>
      </c>
      <c r="D36" s="11" t="s">
        <v>58</v>
      </c>
      <c r="E36" s="12"/>
    </row>
    <row r="37" spans="1:5" ht="17" thickBot="1" x14ac:dyDescent="0.25">
      <c r="A37" s="15"/>
      <c r="B37" s="16">
        <f>SUM(B2:B36)</f>
        <v>-705.42000000000019</v>
      </c>
      <c r="C37" s="19"/>
      <c r="D37" s="17"/>
      <c r="E37" s="20"/>
    </row>
    <row r="38" spans="1:5" s="18" customFormat="1" ht="17" thickTop="1" x14ac:dyDescent="0.2"/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Berlinghoff</dc:creator>
  <cp:lastModifiedBy>Emily Berlinghoff</cp:lastModifiedBy>
  <dcterms:created xsi:type="dcterms:W3CDTF">2025-09-17T17:16:06Z</dcterms:created>
  <dcterms:modified xsi:type="dcterms:W3CDTF">2025-09-17T18:42:34Z</dcterms:modified>
</cp:coreProperties>
</file>